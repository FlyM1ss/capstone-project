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0940" windowHeight="10110" activeTab="3"/>
  </bookViews>
  <sheets>
    <sheet name="Unit Test Results" sheetId="4" r:id="rId1"/>
    <sheet name="Integration Testing Results" sheetId="5" r:id="rId2"/>
    <sheet name="IncidentLog" sheetId="7" r:id="rId3"/>
    <sheet name="Percentages" sheetId="6" r:id="rId4"/>
    <sheet name="Data" sheetId="8" state="hidden" r:id="rId5"/>
  </sheets>
  <definedNames>
    <definedName name="_Toc209950428" localSheetId="2">IncidentLog!#REF!</definedName>
    <definedName name="_Toc209950428" localSheetId="1">'Integration Testing Results'!#REF!</definedName>
    <definedName name="_Toc209950428" localSheetId="0">'Unit Test Results'!#REF!</definedName>
    <definedName name="_Toc209950437" localSheetId="2">IncidentLog!#REF!</definedName>
    <definedName name="_Toc209950437" localSheetId="1">'Integration Testing Results'!#REF!</definedName>
    <definedName name="_Toc209950437" localSheetId="0">'Unit Test Results'!#REF!</definedName>
    <definedName name="ListSeverity">Data!$B$2:$B$5</definedName>
  </definedNames>
  <calcPr calcId="125725"/>
</workbook>
</file>

<file path=xl/calcChain.xml><?xml version="1.0" encoding="utf-8"?>
<calcChain xmlns="http://schemas.openxmlformats.org/spreadsheetml/2006/main">
  <c r="D8" i="5"/>
  <c r="C4" i="6" s="1"/>
  <c r="D14" i="4"/>
  <c r="C3" i="6" s="1"/>
  <c r="G8" i="5"/>
  <c r="H4"/>
  <c r="G4" i="6"/>
  <c r="E8" i="5"/>
  <c r="D4" i="6" s="1"/>
  <c r="F10" i="4"/>
  <c r="F11"/>
  <c r="P5" i="6"/>
  <c r="F5" i="5"/>
  <c r="H5"/>
  <c r="H10" i="4"/>
  <c r="H6" i="5"/>
  <c r="H7"/>
  <c r="H8" s="1"/>
  <c r="F6"/>
  <c r="F7"/>
  <c r="F8" s="1"/>
  <c r="F5" i="4"/>
  <c r="F6"/>
  <c r="F14" s="1"/>
  <c r="F7"/>
  <c r="F8"/>
  <c r="F9"/>
  <c r="F12"/>
  <c r="F13"/>
  <c r="H5"/>
  <c r="H6"/>
  <c r="H7"/>
  <c r="H8"/>
  <c r="H9"/>
  <c r="H11"/>
  <c r="H12"/>
  <c r="H13"/>
  <c r="H4"/>
  <c r="G14"/>
  <c r="G3" i="6" s="1"/>
  <c r="M3"/>
  <c r="R3"/>
  <c r="S3"/>
  <c r="T3"/>
  <c r="U3"/>
  <c r="V3"/>
  <c r="W3" s="1"/>
  <c r="M4"/>
  <c r="R4"/>
  <c r="R5" s="1"/>
  <c r="S4"/>
  <c r="T4"/>
  <c r="U4"/>
  <c r="U5" s="1"/>
  <c r="V4"/>
  <c r="I5"/>
  <c r="J5"/>
  <c r="K5"/>
  <c r="L5"/>
  <c r="M5"/>
  <c r="J6" s="1"/>
  <c r="N5"/>
  <c r="O5"/>
  <c r="Q5"/>
  <c r="S5"/>
  <c r="S6"/>
  <c r="F4" i="5"/>
  <c r="F4" i="4"/>
  <c r="E14"/>
  <c r="D3" i="6" s="1"/>
  <c r="G5" l="1"/>
  <c r="K6"/>
  <c r="W4"/>
  <c r="W5" s="1"/>
  <c r="U6" s="1"/>
  <c r="I6"/>
  <c r="V5"/>
  <c r="E4"/>
  <c r="H4"/>
  <c r="F4"/>
  <c r="H14" i="4"/>
  <c r="F3" i="6"/>
  <c r="F5" s="1"/>
  <c r="E3"/>
  <c r="C5"/>
  <c r="F6" s="1"/>
  <c r="H3"/>
  <c r="O6"/>
  <c r="Q6"/>
  <c r="N6"/>
  <c r="P6"/>
  <c r="L6"/>
  <c r="T5"/>
  <c r="T6" s="1"/>
  <c r="D5"/>
  <c r="H5" l="1"/>
  <c r="V6"/>
  <c r="E5"/>
  <c r="G6"/>
  <c r="H6" l="1"/>
</calcChain>
</file>

<file path=xl/sharedStrings.xml><?xml version="1.0" encoding="utf-8"?>
<sst xmlns="http://schemas.openxmlformats.org/spreadsheetml/2006/main" count="110" uniqueCount="79">
  <si>
    <t>* indicates a calculated field</t>
  </si>
  <si>
    <t>Totals</t>
  </si>
  <si>
    <t xml:space="preserve"> </t>
  </si>
  <si>
    <t>Notes</t>
  </si>
  <si>
    <t># Passed*</t>
  </si>
  <si>
    <t>App # Failed</t>
  </si>
  <si>
    <t># Not Executed*</t>
  </si>
  <si>
    <t># Executed</t>
  </si>
  <si>
    <t># Steps</t>
  </si>
  <si>
    <t>Test Case Title</t>
  </si>
  <si>
    <t>Date</t>
  </si>
  <si>
    <t>Test Case ID</t>
  </si>
  <si>
    <t>Anand Patil</t>
  </si>
  <si>
    <t xml:space="preserve">Tester: </t>
  </si>
  <si>
    <t>TEST SCRIPT NAME:  XBRL Project Database User Interface - Unit Testing Results</t>
  </si>
  <si>
    <t>TEST SCRIPT NAME:  XBRL Project Database User Interface - Integration Testing Results</t>
  </si>
  <si>
    <t>Integration Testing</t>
  </si>
  <si>
    <t>Unit Testing</t>
  </si>
  <si>
    <t>Total</t>
  </si>
  <si>
    <t>4-Mi</t>
  </si>
  <si>
    <t>3-Mod</t>
  </si>
  <si>
    <t>2-Ser</t>
  </si>
  <si>
    <t>1- Crit</t>
  </si>
  <si>
    <t>Pass</t>
  </si>
  <si>
    <t>Fail</t>
  </si>
  <si>
    <t>N/S</t>
  </si>
  <si>
    <t>Executed</t>
  </si>
  <si>
    <t>Test Phases</t>
  </si>
  <si>
    <t>Incidents Open</t>
  </si>
  <si>
    <t>Incidents Retested</t>
  </si>
  <si>
    <t>Incidents Logged</t>
  </si>
  <si>
    <t>Test Steps</t>
  </si>
  <si>
    <t>Failed</t>
  </si>
  <si>
    <t>Incident ID</t>
  </si>
  <si>
    <t>Date Created</t>
  </si>
  <si>
    <t>Description</t>
  </si>
  <si>
    <t>Resolution</t>
  </si>
  <si>
    <t>TEST SCRIPT NAME:  XBRL Project Database User Interface - Incident Log</t>
  </si>
  <si>
    <t>Incident-01</t>
  </si>
  <si>
    <t>Date Fixed</t>
  </si>
  <si>
    <t>Date Validated</t>
  </si>
  <si>
    <t>Severity</t>
  </si>
  <si>
    <t>Critical</t>
  </si>
  <si>
    <t>Serious</t>
  </si>
  <si>
    <t>Moderate</t>
  </si>
  <si>
    <t>Minor</t>
  </si>
  <si>
    <t>XBRL Project Query</t>
  </si>
  <si>
    <t>XBRL Project-Fields Query</t>
  </si>
  <si>
    <t>XBRL Labels Query</t>
  </si>
  <si>
    <t>XBRL Presentation Query</t>
  </si>
  <si>
    <t>JSON Marshaller</t>
  </si>
  <si>
    <t>Excel Export</t>
  </si>
  <si>
    <t>Data Display</t>
  </si>
  <si>
    <t>User Feedback</t>
  </si>
  <si>
    <t>Empty/Non-Existent Files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</si>
  <si>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</si>
  <si>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</si>
  <si>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</si>
  <si>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</si>
  <si>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</si>
  <si>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</si>
  <si>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</si>
  <si>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</si>
  <si>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</si>
  <si>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TC-011</t>
  </si>
  <si>
    <t>TC-012</t>
  </si>
  <si>
    <t>Gino Gervasio / James Wu</t>
  </si>
  <si>
    <t>Change in Excel Design</t>
  </si>
  <si>
    <t>TC-006 - ReEx-002</t>
  </si>
  <si>
    <t>TC-012 ReEx-002</t>
  </si>
  <si>
    <t>*Defect: Change in Excel Design</t>
  </si>
  <si>
    <t>Change in Excel Layout; Multiple values should be listed in rows and not in columns</t>
  </si>
  <si>
    <t>Development Team to change layout of Export to Excel functionality.</t>
  </si>
  <si>
    <t>TC-011 ReEx-002</t>
  </si>
  <si>
    <t>*Defect: Display does not show 'Processing' when loading data</t>
  </si>
  <si>
    <t>Defect Fixed</t>
  </si>
  <si>
    <t>Incident-02</t>
  </si>
  <si>
    <t>Processing' Status does not display when page is loading project information</t>
  </si>
  <si>
    <t>Development Team to re-implement display status</t>
  </si>
</sst>
</file>

<file path=xl/styles.xml><?xml version="1.0" encoding="utf-8"?>
<styleSheet xmlns="http://schemas.openxmlformats.org/spreadsheetml/2006/main">
  <numFmts count="1">
    <numFmt numFmtId="164" formatCode="0;\-0;&quot;-&quot;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0"/>
      <name val="Calibri"/>
      <family val="2"/>
      <scheme val="minor"/>
    </font>
    <font>
      <sz val="10"/>
      <name val="Verdana"/>
      <family val="2"/>
    </font>
    <font>
      <b/>
      <u/>
      <sz val="10"/>
      <color theme="0"/>
      <name val="Calibri"/>
      <family val="2"/>
      <scheme val="minor"/>
    </font>
    <font>
      <u/>
      <sz val="10"/>
      <name val="Calibri"/>
      <family val="2"/>
      <scheme val="minor"/>
    </font>
    <font>
      <b/>
      <i/>
      <sz val="10"/>
      <color indexed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scheme val="minor"/>
    </font>
    <font>
      <i/>
      <sz val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2" fillId="0" borderId="3" xfId="1" applyFont="1" applyBorder="1" applyProtection="1"/>
    <xf numFmtId="0" fontId="2" fillId="0" borderId="2" xfId="1" applyFont="1" applyBorder="1" applyProtection="1"/>
    <xf numFmtId="164" fontId="2" fillId="0" borderId="20" xfId="3" applyNumberFormat="1" applyFont="1" applyFill="1" applyBorder="1" applyAlignment="1" applyProtection="1">
      <alignment horizontal="center"/>
    </xf>
    <xf numFmtId="164" fontId="2" fillId="0" borderId="18" xfId="3" applyNumberFormat="1" applyFont="1" applyFill="1" applyBorder="1" applyAlignment="1" applyProtection="1">
      <alignment horizontal="center"/>
    </xf>
    <xf numFmtId="9" fontId="2" fillId="0" borderId="18" xfId="4" applyFont="1" applyFill="1" applyBorder="1" applyAlignment="1" applyProtection="1">
      <alignment horizontal="center"/>
    </xf>
    <xf numFmtId="164" fontId="2" fillId="0" borderId="22" xfId="3" applyNumberFormat="1" applyFont="1" applyFill="1" applyBorder="1" applyAlignment="1" applyProtection="1">
      <alignment horizontal="center"/>
    </xf>
    <xf numFmtId="164" fontId="2" fillId="0" borderId="21" xfId="3" applyNumberFormat="1" applyFont="1" applyFill="1" applyBorder="1" applyAlignment="1" applyProtection="1">
      <alignment horizontal="center"/>
      <protection locked="0"/>
    </xf>
    <xf numFmtId="164" fontId="2" fillId="0" borderId="20" xfId="3" applyNumberFormat="1" applyFont="1" applyFill="1" applyBorder="1" applyAlignment="1" applyProtection="1">
      <alignment horizontal="center"/>
      <protection locked="0"/>
    </xf>
    <xf numFmtId="164" fontId="2" fillId="0" borderId="18" xfId="3" applyNumberFormat="1" applyFont="1" applyFill="1" applyBorder="1" applyAlignment="1" applyProtection="1">
      <alignment horizontal="center"/>
      <protection locked="0"/>
    </xf>
    <xf numFmtId="164" fontId="2" fillId="0" borderId="19" xfId="3" applyNumberFormat="1" applyFont="1" applyFill="1" applyBorder="1" applyAlignment="1" applyProtection="1">
      <alignment horizontal="center"/>
    </xf>
    <xf numFmtId="0" fontId="3" fillId="3" borderId="25" xfId="3" applyFont="1" applyFill="1" applyBorder="1" applyAlignment="1" applyProtection="1">
      <alignment horizontal="center"/>
    </xf>
    <xf numFmtId="0" fontId="3" fillId="3" borderId="0" xfId="3" applyFont="1" applyFill="1" applyBorder="1" applyAlignment="1" applyProtection="1">
      <alignment horizontal="center"/>
    </xf>
    <xf numFmtId="0" fontId="3" fillId="3" borderId="24" xfId="3" applyFont="1" applyFill="1" applyBorder="1" applyAlignment="1" applyProtection="1">
      <alignment horizontal="center"/>
    </xf>
    <xf numFmtId="0" fontId="3" fillId="3" borderId="10" xfId="3" applyFont="1" applyFill="1" applyBorder="1" applyAlignment="1" applyProtection="1">
      <alignment horizontal="center"/>
    </xf>
    <xf numFmtId="0" fontId="3" fillId="3" borderId="6" xfId="3" applyFont="1" applyFill="1" applyBorder="1" applyAlignment="1" applyProtection="1">
      <alignment horizontal="center"/>
    </xf>
    <xf numFmtId="0" fontId="3" fillId="3" borderId="12" xfId="3" applyFont="1" applyFill="1" applyBorder="1" applyAlignment="1" applyProtection="1">
      <alignment horizontal="center"/>
    </xf>
    <xf numFmtId="164" fontId="2" fillId="4" borderId="20" xfId="3" applyNumberFormat="1" applyFont="1" applyFill="1" applyBorder="1" applyAlignment="1" applyProtection="1">
      <alignment horizontal="center"/>
    </xf>
    <xf numFmtId="164" fontId="2" fillId="4" borderId="18" xfId="3" applyNumberFormat="1" applyFont="1" applyFill="1" applyBorder="1" applyAlignment="1" applyProtection="1">
      <alignment horizontal="center"/>
    </xf>
    <xf numFmtId="9" fontId="2" fillId="4" borderId="18" xfId="4" applyFont="1" applyFill="1" applyBorder="1" applyAlignment="1" applyProtection="1">
      <alignment horizontal="center"/>
    </xf>
    <xf numFmtId="164" fontId="2" fillId="4" borderId="22" xfId="3" applyNumberFormat="1" applyFont="1" applyFill="1" applyBorder="1" applyAlignment="1" applyProtection="1">
      <alignment horizontal="center"/>
    </xf>
    <xf numFmtId="164" fontId="2" fillId="4" borderId="21" xfId="3" applyNumberFormat="1" applyFont="1" applyFill="1" applyBorder="1" applyAlignment="1" applyProtection="1">
      <alignment horizontal="center"/>
      <protection locked="0"/>
    </xf>
    <xf numFmtId="164" fontId="2" fillId="4" borderId="20" xfId="3" applyNumberFormat="1" applyFont="1" applyFill="1" applyBorder="1" applyAlignment="1" applyProtection="1">
      <alignment horizontal="center"/>
      <protection locked="0"/>
    </xf>
    <xf numFmtId="164" fontId="2" fillId="4" borderId="18" xfId="3" applyNumberFormat="1" applyFont="1" applyFill="1" applyBorder="1" applyAlignment="1" applyProtection="1">
      <alignment horizontal="center"/>
      <protection locked="0"/>
    </xf>
    <xf numFmtId="164" fontId="2" fillId="4" borderId="14" xfId="3" applyNumberFormat="1" applyFont="1" applyFill="1" applyBorder="1" applyAlignment="1" applyProtection="1">
      <alignment horizontal="center"/>
    </xf>
    <xf numFmtId="164" fontId="2" fillId="4" borderId="17" xfId="3" applyNumberFormat="1" applyFont="1" applyFill="1" applyBorder="1" applyAlignment="1" applyProtection="1">
      <alignment horizontal="center"/>
    </xf>
    <xf numFmtId="164" fontId="2" fillId="4" borderId="13" xfId="3" applyNumberFormat="1" applyFont="1" applyFill="1" applyBorder="1" applyAlignment="1" applyProtection="1">
      <alignment horizontal="center"/>
    </xf>
    <xf numFmtId="9" fontId="3" fillId="3" borderId="8" xfId="4" applyFont="1" applyFill="1" applyBorder="1" applyAlignment="1" applyProtection="1">
      <alignment horizontal="center"/>
    </xf>
    <xf numFmtId="9" fontId="3" fillId="3" borderId="7" xfId="4" applyFont="1" applyFill="1" applyBorder="1" applyAlignment="1" applyProtection="1">
      <alignment horizontal="center"/>
    </xf>
    <xf numFmtId="9" fontId="3" fillId="3" borderId="11" xfId="4" applyFont="1" applyFill="1" applyBorder="1" applyAlignment="1" applyProtection="1">
      <alignment horizontal="center"/>
    </xf>
    <xf numFmtId="9" fontId="3" fillId="3" borderId="9" xfId="4" applyFont="1" applyFill="1" applyBorder="1" applyAlignment="1" applyProtection="1">
      <alignment horizontal="center"/>
    </xf>
    <xf numFmtId="164" fontId="3" fillId="3" borderId="16" xfId="3" applyNumberFormat="1" applyFont="1" applyFill="1" applyBorder="1" applyAlignment="1" applyProtection="1">
      <alignment horizontal="center"/>
    </xf>
    <xf numFmtId="164" fontId="3" fillId="3" borderId="15" xfId="3" applyNumberFormat="1" applyFont="1" applyFill="1" applyBorder="1" applyAlignment="1" applyProtection="1">
      <alignment horizontal="center"/>
    </xf>
    <xf numFmtId="164" fontId="3" fillId="3" borderId="14" xfId="3" applyNumberFormat="1" applyFont="1" applyFill="1" applyBorder="1" applyAlignment="1" applyProtection="1">
      <alignment horizontal="center"/>
    </xf>
    <xf numFmtId="164" fontId="3" fillId="3" borderId="17" xfId="3" applyNumberFormat="1" applyFont="1" applyFill="1" applyBorder="1" applyAlignment="1" applyProtection="1">
      <alignment horizontal="center"/>
    </xf>
    <xf numFmtId="164" fontId="3" fillId="3" borderId="13" xfId="3" applyNumberFormat="1" applyFont="1" applyFill="1" applyBorder="1" applyAlignment="1" applyProtection="1">
      <alignment horizontal="center"/>
    </xf>
    <xf numFmtId="0" fontId="3" fillId="4" borderId="22" xfId="1" applyFont="1" applyFill="1" applyBorder="1"/>
    <xf numFmtId="0" fontId="3" fillId="0" borderId="22" xfId="1" applyFont="1" applyBorder="1"/>
    <xf numFmtId="1" fontId="3" fillId="4" borderId="23" xfId="3" applyNumberFormat="1" applyFont="1" applyFill="1" applyBorder="1" applyAlignment="1" applyProtection="1">
      <alignment horizontal="center" vertical="top"/>
    </xf>
    <xf numFmtId="1" fontId="3" fillId="0" borderId="23" xfId="3" applyNumberFormat="1" applyFont="1" applyFill="1" applyBorder="1" applyAlignment="1" applyProtection="1">
      <alignment horizontal="center" vertical="top"/>
    </xf>
    <xf numFmtId="0" fontId="8" fillId="0" borderId="0" xfId="2" applyFont="1" applyFill="1" applyBorder="1" applyAlignment="1" applyProtection="1">
      <alignment horizontal="left" vertical="center" wrapText="1"/>
    </xf>
    <xf numFmtId="0" fontId="3" fillId="3" borderId="4" xfId="1" applyFont="1" applyFill="1" applyBorder="1" applyAlignment="1" applyProtection="1">
      <alignment horizontal="left" vertical="center" wrapText="1"/>
    </xf>
    <xf numFmtId="0" fontId="3" fillId="3" borderId="1" xfId="1" applyFont="1" applyFill="1" applyBorder="1" applyAlignment="1" applyProtection="1">
      <alignment horizontal="left" vertical="center" wrapText="1"/>
    </xf>
    <xf numFmtId="0" fontId="3" fillId="3" borderId="1" xfId="1" applyFont="1" applyFill="1" applyBorder="1" applyAlignment="1" applyProtection="1">
      <alignment horizontal="center" vertical="center" wrapText="1"/>
    </xf>
    <xf numFmtId="0" fontId="9" fillId="3" borderId="1" xfId="1" applyFont="1" applyFill="1" applyBorder="1" applyAlignment="1" applyProtection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2" fillId="0" borderId="0" xfId="1" applyFont="1" applyFill="1"/>
    <xf numFmtId="0" fontId="9" fillId="0" borderId="0" xfId="1" applyFont="1"/>
    <xf numFmtId="0" fontId="7" fillId="2" borderId="5" xfId="2" applyFont="1" applyFill="1" applyBorder="1" applyAlignment="1" applyProtection="1">
      <alignment horizontal="left" vertical="center" wrapText="1"/>
    </xf>
    <xf numFmtId="0" fontId="7" fillId="2" borderId="2" xfId="2" applyFont="1" applyFill="1" applyBorder="1" applyAlignment="1" applyProtection="1">
      <alignment horizontal="left" vertical="center" wrapText="1"/>
    </xf>
    <xf numFmtId="0" fontId="11" fillId="2" borderId="3" xfId="1" applyFont="1" applyFill="1" applyBorder="1" applyAlignment="1">
      <alignment horizontal="left" vertical="center" wrapText="1"/>
    </xf>
    <xf numFmtId="0" fontId="2" fillId="3" borderId="2" xfId="1" applyFont="1" applyFill="1" applyBorder="1"/>
    <xf numFmtId="0" fontId="2" fillId="3" borderId="1" xfId="1" applyFont="1" applyFill="1" applyBorder="1"/>
    <xf numFmtId="0" fontId="3" fillId="3" borderId="1" xfId="1" applyFont="1" applyFill="1" applyBorder="1"/>
    <xf numFmtId="0" fontId="3" fillId="3" borderId="1" xfId="1" applyFont="1" applyFill="1" applyBorder="1" applyAlignment="1">
      <alignment horizontal="center"/>
    </xf>
    <xf numFmtId="0" fontId="2" fillId="5" borderId="0" xfId="1" applyFont="1" applyFill="1"/>
    <xf numFmtId="0" fontId="5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left" vertical="center" wrapText="1"/>
    </xf>
    <xf numFmtId="164" fontId="2" fillId="0" borderId="1" xfId="3" applyNumberFormat="1" applyFont="1" applyFill="1" applyBorder="1" applyAlignment="1" applyProtection="1">
      <alignment horizontal="center"/>
    </xf>
    <xf numFmtId="14" fontId="2" fillId="0" borderId="3" xfId="1" applyNumberFormat="1" applyFont="1" applyBorder="1" applyProtection="1"/>
    <xf numFmtId="0" fontId="2" fillId="3" borderId="3" xfId="1" applyFont="1" applyFill="1" applyBorder="1"/>
    <xf numFmtId="0" fontId="3" fillId="3" borderId="3" xfId="1" applyFont="1" applyFill="1" applyBorder="1" applyAlignment="1" applyProtection="1">
      <alignment horizontal="center" vertical="center" wrapText="1"/>
    </xf>
    <xf numFmtId="0" fontId="9" fillId="3" borderId="3" xfId="1" applyFont="1" applyFill="1" applyBorder="1" applyAlignment="1" applyProtection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/>
    </xf>
    <xf numFmtId="0" fontId="3" fillId="3" borderId="3" xfId="1" applyFont="1" applyFill="1" applyBorder="1"/>
    <xf numFmtId="14" fontId="2" fillId="0" borderId="1" xfId="1" applyNumberFormat="1" applyFont="1" applyBorder="1" applyProtection="1"/>
    <xf numFmtId="0" fontId="2" fillId="0" borderId="1" xfId="1" applyFont="1" applyBorder="1" applyProtection="1"/>
    <xf numFmtId="0" fontId="12" fillId="0" borderId="3" xfId="1" applyFont="1" applyBorder="1"/>
    <xf numFmtId="0" fontId="2" fillId="0" borderId="2" xfId="1" applyFont="1" applyBorder="1" applyAlignment="1" applyProtection="1">
      <alignment horizontal="left" indent="1"/>
    </xf>
    <xf numFmtId="0" fontId="13" fillId="0" borderId="2" xfId="1" applyFont="1" applyBorder="1" applyProtection="1"/>
    <xf numFmtId="14" fontId="13" fillId="0" borderId="3" xfId="1" applyNumberFormat="1" applyFont="1" applyBorder="1" applyProtection="1"/>
    <xf numFmtId="0" fontId="13" fillId="0" borderId="3" xfId="1" applyFont="1" applyBorder="1" applyProtection="1"/>
    <xf numFmtId="0" fontId="14" fillId="0" borderId="3" xfId="1" applyFont="1" applyBorder="1"/>
    <xf numFmtId="0" fontId="2" fillId="0" borderId="3" xfId="1" quotePrefix="1" applyFont="1" applyBorder="1" applyProtection="1"/>
    <xf numFmtId="0" fontId="3" fillId="2" borderId="10" xfId="3" applyFont="1" applyFill="1" applyBorder="1" applyProtection="1"/>
    <xf numFmtId="0" fontId="2" fillId="2" borderId="10" xfId="3" applyFont="1" applyFill="1" applyBorder="1" applyAlignment="1" applyProtection="1">
      <alignment horizontal="center"/>
    </xf>
    <xf numFmtId="0" fontId="2" fillId="2" borderId="0" xfId="3" applyFont="1" applyFill="1" applyBorder="1" applyAlignment="1" applyProtection="1">
      <alignment horizontal="center"/>
    </xf>
    <xf numFmtId="9" fontId="3" fillId="3" borderId="14" xfId="4" applyFont="1" applyFill="1" applyBorder="1" applyAlignment="1" applyProtection="1">
      <alignment horizontal="center"/>
    </xf>
    <xf numFmtId="0" fontId="2" fillId="2" borderId="29" xfId="3" applyFont="1" applyFill="1" applyBorder="1" applyAlignment="1" applyProtection="1">
      <alignment horizontal="center"/>
    </xf>
    <xf numFmtId="0" fontId="2" fillId="2" borderId="30" xfId="3" applyFont="1" applyFill="1" applyBorder="1" applyProtection="1"/>
    <xf numFmtId="9" fontId="3" fillId="3" borderId="16" xfId="4" applyFont="1" applyFill="1" applyBorder="1" applyAlignment="1" applyProtection="1">
      <alignment horizontal="center"/>
    </xf>
    <xf numFmtId="0" fontId="2" fillId="2" borderId="10" xfId="1" applyFont="1" applyFill="1" applyBorder="1"/>
    <xf numFmtId="9" fontId="2" fillId="2" borderId="10" xfId="4" applyFont="1" applyFill="1" applyBorder="1" applyAlignment="1" applyProtection="1">
      <alignment horizontal="center"/>
    </xf>
    <xf numFmtId="9" fontId="2" fillId="2" borderId="17" xfId="4" applyFont="1" applyFill="1" applyBorder="1" applyAlignment="1" applyProtection="1">
      <alignment horizontal="center"/>
    </xf>
    <xf numFmtId="0" fontId="2" fillId="2" borderId="31" xfId="3" applyFont="1" applyFill="1" applyBorder="1" applyAlignment="1" applyProtection="1">
      <alignment horizontal="center"/>
    </xf>
    <xf numFmtId="0" fontId="2" fillId="2" borderId="32" xfId="3" applyFont="1" applyFill="1" applyBorder="1" applyAlignment="1" applyProtection="1">
      <alignment horizontal="center"/>
    </xf>
    <xf numFmtId="0" fontId="2" fillId="2" borderId="32" xfId="1" applyFont="1" applyFill="1" applyBorder="1"/>
    <xf numFmtId="0" fontId="7" fillId="2" borderId="3" xfId="2" applyFont="1" applyFill="1" applyBorder="1" applyAlignment="1" applyProtection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3" fillId="3" borderId="27" xfId="3" applyFont="1" applyFill="1" applyBorder="1" applyAlignment="1" applyProtection="1">
      <alignment horizontal="center"/>
    </xf>
    <xf numFmtId="0" fontId="3" fillId="3" borderId="26" xfId="3" applyFont="1" applyFill="1" applyBorder="1" applyAlignment="1" applyProtection="1">
      <alignment horizontal="center"/>
    </xf>
    <xf numFmtId="0" fontId="3" fillId="3" borderId="28" xfId="3" applyFont="1" applyFill="1" applyBorder="1" applyAlignment="1" applyProtection="1">
      <alignment horizontal="center"/>
    </xf>
    <xf numFmtId="0" fontId="3" fillId="3" borderId="12" xfId="3" applyFont="1" applyFill="1" applyBorder="1" applyAlignment="1" applyProtection="1">
      <alignment horizontal="center"/>
    </xf>
    <xf numFmtId="0" fontId="3" fillId="3" borderId="0" xfId="3" applyFont="1" applyFill="1" applyBorder="1" applyAlignment="1" applyProtection="1">
      <alignment horizontal="center"/>
    </xf>
  </cellXfs>
  <cellStyles count="5">
    <cellStyle name="Hyperlink" xfId="2" builtinId="8"/>
    <cellStyle name="Normal" xfId="0" builtinId="0"/>
    <cellStyle name="Normal 2" xfId="1"/>
    <cellStyle name="Normal_2009-01-28 Job Administration Package Test Statistics" xfId="3"/>
    <cellStyle name="Percent 2" xfId="4"/>
  </cellStyles>
  <dxfs count="37"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strike val="0"/>
        <outline val="0"/>
        <shadow val="0"/>
        <vertAlign val="baseline"/>
        <sz val="10"/>
        <name val="Calibri"/>
        <scheme val="none"/>
      </font>
      <fill>
        <patternFill>
          <fgColor rgb="FF000000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  <numFmt numFmtId="0" formatCode="General"/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border outline="0">
        <left style="thin">
          <color rgb="FF000000"/>
        </left>
        <top style="thin">
          <color rgb="FF000000"/>
        </top>
      </border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</patternFill>
      </fill>
    </dxf>
    <dxf>
      <border outline="0">
        <bottom style="thin">
          <color rgb="FF000000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 patternType="solid">
          <fgColor indexed="64"/>
          <bgColor theme="6" tint="0.39997558519241921"/>
        </patternFill>
      </fill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>
          <fgColor indexed="64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Calibri"/>
        <scheme val="minor"/>
      </font>
      <fill>
        <patternFill patternType="solid">
          <fgColor indexed="64"/>
          <bgColor theme="6" tint="0.3999755851924192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plotArea>
      <c:layout/>
      <c:barChart>
        <c:barDir val="bar"/>
        <c:grouping val="stacked"/>
        <c:ser>
          <c:idx val="0"/>
          <c:order val="0"/>
          <c:tx>
            <c:v>Not Started</c:v>
          </c:tx>
          <c:cat>
            <c:strLit>
              <c:ptCount val="1"/>
              <c:pt idx="0">
                <c:v>% Complete</c:v>
              </c:pt>
            </c:strLit>
          </c:cat>
          <c:val>
            <c:numRef>
              <c:f>Percentages!$F$6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Completed</c:v>
          </c:tx>
          <c:cat>
            <c:strLit>
              <c:ptCount val="1"/>
              <c:pt idx="0">
                <c:v>% Complete</c:v>
              </c:pt>
            </c:strLit>
          </c:cat>
          <c:val>
            <c:numRef>
              <c:f>Percentages!$E$5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overlap val="100"/>
        <c:axId val="81384192"/>
        <c:axId val="81385728"/>
      </c:barChart>
      <c:catAx>
        <c:axId val="81384192"/>
        <c:scaling>
          <c:orientation val="minMax"/>
        </c:scaling>
        <c:axPos val="l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1385728"/>
        <c:crosses val="autoZero"/>
        <c:auto val="1"/>
        <c:lblAlgn val="ctr"/>
        <c:lblOffset val="100"/>
      </c:catAx>
      <c:valAx>
        <c:axId val="81385728"/>
        <c:scaling>
          <c:orientation val="minMax"/>
        </c:scaling>
        <c:axPos val="b"/>
        <c:majorGridlines/>
        <c:numFmt formatCode="0%" sourceLinked="1"/>
        <c:tickLblPos val="nextTo"/>
        <c:crossAx val="81384192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  <a:effectLst/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Percentages!$I$1</c:f>
              <c:strCache>
                <c:ptCount val="1"/>
                <c:pt idx="0">
                  <c:v>Incidents Logged</c:v>
                </c:pt>
              </c:strCache>
            </c:strRef>
          </c:tx>
          <c:cat>
            <c:strRef>
              <c:f>Percentages!$B$3:$B$4</c:f>
              <c:strCache>
                <c:ptCount val="2"/>
                <c:pt idx="0">
                  <c:v>Unit Testing</c:v>
                </c:pt>
                <c:pt idx="1">
                  <c:v>Integration Testing</c:v>
                </c:pt>
              </c:strCache>
            </c:strRef>
          </c:cat>
          <c:val>
            <c:numRef>
              <c:f>Percentages!$M$3:$M$4</c:f>
              <c:numCache>
                <c:formatCode>0;\-0;"-"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ser>
          <c:idx val="1"/>
          <c:order val="1"/>
          <c:tx>
            <c:strRef>
              <c:f>Percentages!$N$1</c:f>
              <c:strCache>
                <c:ptCount val="1"/>
                <c:pt idx="0">
                  <c:v>Incidents Retested</c:v>
                </c:pt>
              </c:strCache>
            </c:strRef>
          </c:tx>
          <c:cat>
            <c:strRef>
              <c:f>Percentages!$B$3:$B$4</c:f>
              <c:strCache>
                <c:ptCount val="2"/>
                <c:pt idx="0">
                  <c:v>Unit Testing</c:v>
                </c:pt>
                <c:pt idx="1">
                  <c:v>Integration Testing</c:v>
                </c:pt>
              </c:strCache>
            </c:strRef>
          </c:cat>
          <c:val>
            <c:numRef>
              <c:f>Percentages!$R$3:$R$4</c:f>
              <c:numCache>
                <c:formatCode>0;\-0;"-"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ser>
          <c:idx val="2"/>
          <c:order val="2"/>
          <c:tx>
            <c:strRef>
              <c:f>Percentages!$S$1</c:f>
              <c:strCache>
                <c:ptCount val="1"/>
                <c:pt idx="0">
                  <c:v>Incidents Open</c:v>
                </c:pt>
              </c:strCache>
            </c:strRef>
          </c:tx>
          <c:cat>
            <c:strRef>
              <c:f>Percentages!$B$3:$B$4</c:f>
              <c:strCache>
                <c:ptCount val="2"/>
                <c:pt idx="0">
                  <c:v>Unit Testing</c:v>
                </c:pt>
                <c:pt idx="1">
                  <c:v>Integration Testing</c:v>
                </c:pt>
              </c:strCache>
            </c:strRef>
          </c:cat>
          <c:val>
            <c:numRef>
              <c:f>Percentages!$W$3:$W$4</c:f>
              <c:numCache>
                <c:formatCode>0;\-0;"-"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hape val="box"/>
        <c:axId val="81426688"/>
        <c:axId val="81432576"/>
        <c:axId val="0"/>
      </c:bar3DChart>
      <c:catAx>
        <c:axId val="81426688"/>
        <c:scaling>
          <c:orientation val="minMax"/>
        </c:scaling>
        <c:axPos val="b"/>
        <c:tickLblPos val="nextTo"/>
        <c:crossAx val="81432576"/>
        <c:crosses val="autoZero"/>
        <c:auto val="1"/>
        <c:lblAlgn val="ctr"/>
        <c:lblOffset val="100"/>
      </c:catAx>
      <c:valAx>
        <c:axId val="81432576"/>
        <c:scaling>
          <c:orientation val="minMax"/>
        </c:scaling>
        <c:axPos val="l"/>
        <c:majorGridlines/>
        <c:numFmt formatCode="0;\-0;&quot;-&quot;" sourceLinked="1"/>
        <c:tickLblPos val="nextTo"/>
        <c:crossAx val="81426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228357</xdr:colOff>
      <xdr:row>7</xdr:row>
      <xdr:rowOff>114300</xdr:rowOff>
    </xdr:from>
    <xdr:to>
      <xdr:col>12</xdr:col>
      <xdr:colOff>191506</xdr:colOff>
      <xdr:row>13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14</xdr:row>
      <xdr:rowOff>76200</xdr:rowOff>
    </xdr:from>
    <xdr:to>
      <xdr:col>12</xdr:col>
      <xdr:colOff>161925</xdr:colOff>
      <xdr:row>31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3:I14" totalsRowShown="0" headerRowDxfId="36" dataDxfId="34" headerRowBorderDxfId="35" tableBorderDxfId="33">
  <autoFilter ref="A3:I14"/>
  <tableColumns count="9">
    <tableColumn id="1" name="Test Case ID" dataDxfId="32"/>
    <tableColumn id="2" name="Date" dataDxfId="31"/>
    <tableColumn id="3" name="Test Case Title" dataDxfId="30"/>
    <tableColumn id="4" name="# Steps" dataDxfId="29"/>
    <tableColumn id="5" name="# Executed" dataDxfId="28"/>
    <tableColumn id="6" name="# Not Executed*" dataDxfId="27"/>
    <tableColumn id="7" name="Failed" dataDxfId="26"/>
    <tableColumn id="9" name="# Passed*" dataDxfId="25"/>
    <tableColumn id="10" name="Notes" dataDxfId="2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3:I8" totalsRowShown="0" headerRowDxfId="23" dataDxfId="21" headerRowBorderDxfId="22" tableBorderDxfId="20">
  <autoFilter ref="A3:I8"/>
  <tableColumns count="9">
    <tableColumn id="1" name="Test Case ID" dataDxfId="19"/>
    <tableColumn id="2" name="Date" dataDxfId="18"/>
    <tableColumn id="3" name="Test Case Title" dataDxfId="17"/>
    <tableColumn id="4" name="# Steps" dataDxfId="16"/>
    <tableColumn id="5" name="# Executed" dataDxfId="15"/>
    <tableColumn id="6" name="# Not Executed*" dataDxfId="14"/>
    <tableColumn id="7" name="App # Failed" dataDxfId="13"/>
    <tableColumn id="9" name="# Passed*" dataDxfId="12"/>
    <tableColumn id="10" name="Notes" dataDxfId="1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3:G5" totalsRowShown="0" headerRowDxfId="10" dataDxfId="8" headerRowBorderDxfId="9" tableBorderDxfId="7">
  <autoFilter ref="A3:G5">
    <filterColumn colId="3"/>
  </autoFilter>
  <tableColumns count="7">
    <tableColumn id="1" name="Incident ID" dataDxfId="6"/>
    <tableColumn id="2" name="Date Created" dataDxfId="5"/>
    <tableColumn id="3" name="Description" dataDxfId="4"/>
    <tableColumn id="11" name="Severity" dataDxfId="3" dataCellStyle="Normal 2"/>
    <tableColumn id="4" name="Resolution" dataDxfId="2"/>
    <tableColumn id="5" name="Date Fixed" dataDxfId="1"/>
    <tableColumn id="6" name="Date Validated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3" tint="-0.249977111117893"/>
    <pageSetUpPr fitToPage="1"/>
  </sheetPr>
  <dimension ref="A1:I17"/>
  <sheetViews>
    <sheetView zoomScaleNormal="100" zoomScalePageLayoutView="85" workbookViewId="0">
      <selection activeCell="D15" sqref="D15"/>
    </sheetView>
  </sheetViews>
  <sheetFormatPr defaultRowHeight="12.75"/>
  <cols>
    <col min="1" max="1" width="23.5703125" style="1" bestFit="1" customWidth="1"/>
    <col min="2" max="2" width="13.85546875" style="1" bestFit="1" customWidth="1"/>
    <col min="3" max="3" width="50.7109375" style="1" customWidth="1"/>
    <col min="4" max="4" width="10.42578125" style="1" customWidth="1"/>
    <col min="5" max="5" width="12.5703125" style="1" customWidth="1"/>
    <col min="6" max="6" width="17.85546875" style="1" customWidth="1"/>
    <col min="7" max="7" width="14" style="1" customWidth="1"/>
    <col min="8" max="8" width="12.7109375" style="1" customWidth="1"/>
    <col min="9" max="9" width="24.140625" style="1" bestFit="1" customWidth="1"/>
    <col min="10" max="16384" width="9.140625" style="1"/>
  </cols>
  <sheetData>
    <row r="1" spans="1:9" ht="12.75" customHeight="1">
      <c r="A1" s="90" t="s">
        <v>14</v>
      </c>
      <c r="B1" s="90"/>
      <c r="C1" s="91"/>
      <c r="D1" s="42"/>
      <c r="E1" s="42"/>
      <c r="F1" s="42"/>
      <c r="G1" s="42"/>
      <c r="H1" s="42"/>
      <c r="I1" s="42"/>
    </row>
    <row r="2" spans="1:9">
      <c r="A2" s="50" t="s">
        <v>13</v>
      </c>
      <c r="B2" s="51"/>
      <c r="C2" s="52" t="s">
        <v>66</v>
      </c>
      <c r="D2" s="42"/>
      <c r="E2" s="42"/>
      <c r="F2" s="42"/>
      <c r="G2" s="42"/>
      <c r="H2" s="42"/>
      <c r="I2" s="42"/>
    </row>
    <row r="3" spans="1:9" s="48" customFormat="1" ht="27" customHeight="1">
      <c r="A3" s="43" t="s">
        <v>11</v>
      </c>
      <c r="B3" s="44" t="s">
        <v>10</v>
      </c>
      <c r="C3" s="44" t="s">
        <v>9</v>
      </c>
      <c r="D3" s="63" t="s">
        <v>8</v>
      </c>
      <c r="E3" s="63" t="s">
        <v>7</v>
      </c>
      <c r="F3" s="64" t="s">
        <v>6</v>
      </c>
      <c r="G3" s="63" t="s">
        <v>32</v>
      </c>
      <c r="H3" s="64" t="s">
        <v>4</v>
      </c>
      <c r="I3" s="65" t="s">
        <v>3</v>
      </c>
    </row>
    <row r="4" spans="1:9">
      <c r="A4" s="4" t="s">
        <v>55</v>
      </c>
      <c r="B4" s="61">
        <v>40266</v>
      </c>
      <c r="C4" s="3" t="s">
        <v>46</v>
      </c>
      <c r="D4" s="3">
        <v>1</v>
      </c>
      <c r="E4" s="3">
        <v>1</v>
      </c>
      <c r="F4" s="3">
        <f>SUM(D4-E4)</f>
        <v>0</v>
      </c>
      <c r="G4" s="3"/>
      <c r="H4" s="3">
        <f>IF((SUM($E4-$G4))&lt;0,0,(SUM($E4-$G4)))</f>
        <v>1</v>
      </c>
      <c r="I4" s="70"/>
    </row>
    <row r="5" spans="1:9">
      <c r="A5" s="4" t="s">
        <v>56</v>
      </c>
      <c r="B5" s="61">
        <v>40266</v>
      </c>
      <c r="C5" s="3" t="s">
        <v>47</v>
      </c>
      <c r="D5" s="3">
        <v>1</v>
      </c>
      <c r="E5" s="3">
        <v>1</v>
      </c>
      <c r="F5" s="3">
        <f t="shared" ref="F5:F13" si="0">SUM(D5-E5)</f>
        <v>0</v>
      </c>
      <c r="G5" s="3"/>
      <c r="H5" s="3">
        <f t="shared" ref="H5:H13" si="1">IF((SUM($E5-$G5))&lt;0,0,(SUM($E5-$G5)))</f>
        <v>1</v>
      </c>
      <c r="I5" s="70"/>
    </row>
    <row r="6" spans="1:9">
      <c r="A6" s="4" t="s">
        <v>57</v>
      </c>
      <c r="B6" s="61">
        <v>40266</v>
      </c>
      <c r="C6" s="3" t="s">
        <v>48</v>
      </c>
      <c r="D6" s="3">
        <v>1</v>
      </c>
      <c r="E6" s="3">
        <v>1</v>
      </c>
      <c r="F6" s="3">
        <f t="shared" si="0"/>
        <v>0</v>
      </c>
      <c r="G6" s="3"/>
      <c r="H6" s="3">
        <f t="shared" si="1"/>
        <v>1</v>
      </c>
      <c r="I6" s="70"/>
    </row>
    <row r="7" spans="1:9">
      <c r="A7" s="4" t="s">
        <v>58</v>
      </c>
      <c r="B7" s="61">
        <v>40266</v>
      </c>
      <c r="C7" s="3" t="s">
        <v>49</v>
      </c>
      <c r="D7" s="3">
        <v>1</v>
      </c>
      <c r="E7" s="3">
        <v>1</v>
      </c>
      <c r="F7" s="3">
        <f t="shared" si="0"/>
        <v>0</v>
      </c>
      <c r="G7" s="3"/>
      <c r="H7" s="3">
        <f t="shared" si="1"/>
        <v>1</v>
      </c>
      <c r="I7" s="70"/>
    </row>
    <row r="8" spans="1:9">
      <c r="A8" s="4" t="s">
        <v>59</v>
      </c>
      <c r="B8" s="61">
        <v>40269</v>
      </c>
      <c r="C8" s="3" t="s">
        <v>50</v>
      </c>
      <c r="D8" s="3">
        <v>1</v>
      </c>
      <c r="E8" s="3">
        <v>1</v>
      </c>
      <c r="F8" s="3">
        <f t="shared" si="0"/>
        <v>0</v>
      </c>
      <c r="G8" s="3"/>
      <c r="H8" s="3">
        <f t="shared" si="1"/>
        <v>1</v>
      </c>
      <c r="I8" s="70"/>
    </row>
    <row r="9" spans="1:9">
      <c r="A9" s="4" t="s">
        <v>60</v>
      </c>
      <c r="B9" s="61">
        <v>40269</v>
      </c>
      <c r="C9" s="3" t="s">
        <v>51</v>
      </c>
      <c r="D9" s="3">
        <v>1</v>
      </c>
      <c r="E9" s="3">
        <v>1</v>
      </c>
      <c r="F9" s="3">
        <f t="shared" si="0"/>
        <v>0</v>
      </c>
      <c r="G9" s="3"/>
      <c r="H9" s="3">
        <f t="shared" si="1"/>
        <v>1</v>
      </c>
      <c r="I9" s="70"/>
    </row>
    <row r="10" spans="1:9">
      <c r="A10" s="71" t="s">
        <v>68</v>
      </c>
      <c r="B10" s="61">
        <v>40289</v>
      </c>
      <c r="C10" s="3" t="s">
        <v>51</v>
      </c>
      <c r="D10" s="3">
        <v>1</v>
      </c>
      <c r="E10" s="3">
        <v>1</v>
      </c>
      <c r="F10" s="3">
        <f t="shared" si="0"/>
        <v>0</v>
      </c>
      <c r="G10" s="3"/>
      <c r="H10" s="3">
        <f t="shared" si="1"/>
        <v>1</v>
      </c>
      <c r="I10" s="70" t="s">
        <v>67</v>
      </c>
    </row>
    <row r="11" spans="1:9">
      <c r="A11" s="4" t="s">
        <v>61</v>
      </c>
      <c r="B11" s="61">
        <v>40266</v>
      </c>
      <c r="C11" s="3" t="s">
        <v>52</v>
      </c>
      <c r="D11" s="3">
        <v>6</v>
      </c>
      <c r="E11" s="3">
        <v>6</v>
      </c>
      <c r="F11" s="3">
        <f t="shared" si="0"/>
        <v>0</v>
      </c>
      <c r="G11" s="3"/>
      <c r="H11" s="3">
        <f t="shared" si="1"/>
        <v>6</v>
      </c>
      <c r="I11" s="70"/>
    </row>
    <row r="12" spans="1:9">
      <c r="A12" s="4" t="s">
        <v>62</v>
      </c>
      <c r="B12" s="61">
        <v>40267</v>
      </c>
      <c r="C12" s="3" t="s">
        <v>53</v>
      </c>
      <c r="D12" s="3">
        <v>6</v>
      </c>
      <c r="E12" s="3">
        <v>6</v>
      </c>
      <c r="F12" s="3">
        <f t="shared" si="0"/>
        <v>0</v>
      </c>
      <c r="G12" s="3"/>
      <c r="H12" s="3">
        <f t="shared" si="1"/>
        <v>6</v>
      </c>
      <c r="I12" s="70"/>
    </row>
    <row r="13" spans="1:9">
      <c r="A13" s="4" t="s">
        <v>63</v>
      </c>
      <c r="B13" s="61">
        <v>40267</v>
      </c>
      <c r="C13" s="3" t="s">
        <v>54</v>
      </c>
      <c r="D13" s="3">
        <v>3</v>
      </c>
      <c r="E13" s="3">
        <v>3</v>
      </c>
      <c r="F13" s="3">
        <f t="shared" si="0"/>
        <v>0</v>
      </c>
      <c r="G13" s="3"/>
      <c r="H13" s="3">
        <f t="shared" si="1"/>
        <v>3</v>
      </c>
      <c r="I13" s="70"/>
    </row>
    <row r="14" spans="1:9">
      <c r="A14" s="53"/>
      <c r="B14" s="54" t="s">
        <v>2</v>
      </c>
      <c r="C14" s="55" t="s">
        <v>1</v>
      </c>
      <c r="D14" s="66">
        <f>SUM(D4:D13)</f>
        <v>22</v>
      </c>
      <c r="E14" s="66">
        <f>SUM(E4:E13)</f>
        <v>22</v>
      </c>
      <c r="F14" s="66">
        <f>SUM(F4:F13)</f>
        <v>0</v>
      </c>
      <c r="G14" s="66">
        <f>SUM(G4:G13)</f>
        <v>0</v>
      </c>
      <c r="H14" s="66">
        <f>SUM(H4:H13)</f>
        <v>22</v>
      </c>
      <c r="I14" s="67"/>
    </row>
    <row r="16" spans="1:9">
      <c r="A16" s="49" t="s">
        <v>0</v>
      </c>
      <c r="B16" s="49"/>
    </row>
    <row r="17" spans="8:8">
      <c r="H17" s="2"/>
    </row>
  </sheetData>
  <mergeCells count="1">
    <mergeCell ref="A1:C1"/>
  </mergeCells>
  <printOptions horizontalCentered="1" gridLines="1"/>
  <pageMargins left="0.75" right="0.75" top="1" bottom="1" header="0.5" footer="0.5"/>
  <pageSetup scale="67" fitToHeight="0" orientation="landscape" r:id="rId1"/>
  <headerFooter alignWithMargins="0">
    <oddHeader>&amp;C&amp;"-,Bold"&amp;10Group Three
XBRL Project Database User Interface</oddHeader>
    <oddFooter>&amp;L&amp;"-,Bold"&amp;8Group Three | Testing Results&amp;R&amp;"-,Bold"&amp;8Page &amp;P of &amp;N
&amp;D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>
    <tabColor theme="3" tint="-0.249977111117893"/>
    <pageSetUpPr fitToPage="1"/>
  </sheetPr>
  <dimension ref="A1:I11"/>
  <sheetViews>
    <sheetView zoomScaleNormal="100" workbookViewId="0">
      <pane ySplit="3" topLeftCell="A4" activePane="bottomLeft" state="frozen"/>
      <selection pane="bottomLeft" activeCell="D18" sqref="D18"/>
    </sheetView>
  </sheetViews>
  <sheetFormatPr defaultRowHeight="12.75"/>
  <cols>
    <col min="1" max="1" width="23.5703125" style="1" bestFit="1" customWidth="1"/>
    <col min="2" max="2" width="13.85546875" style="1" bestFit="1" customWidth="1"/>
    <col min="3" max="3" width="50.7109375" style="1" customWidth="1"/>
    <col min="4" max="4" width="10.42578125" style="1" customWidth="1"/>
    <col min="5" max="5" width="12.5703125" style="1" customWidth="1"/>
    <col min="6" max="6" width="17.85546875" style="1" customWidth="1"/>
    <col min="7" max="7" width="14" style="1" customWidth="1"/>
    <col min="8" max="8" width="12.7109375" style="1" customWidth="1"/>
    <col min="9" max="9" width="24.140625" style="1" bestFit="1" customWidth="1"/>
    <col min="10" max="16384" width="9.140625" style="1"/>
  </cols>
  <sheetData>
    <row r="1" spans="1:9" ht="12.75" customHeight="1">
      <c r="A1" s="90" t="s">
        <v>15</v>
      </c>
      <c r="B1" s="90"/>
      <c r="C1" s="91"/>
      <c r="D1" s="42"/>
      <c r="E1" s="42"/>
      <c r="F1" s="42"/>
      <c r="G1" s="42"/>
      <c r="H1" s="42"/>
      <c r="I1" s="42"/>
    </row>
    <row r="2" spans="1:9">
      <c r="A2" s="50" t="s">
        <v>13</v>
      </c>
      <c r="B2" s="51"/>
      <c r="C2" s="52" t="s">
        <v>12</v>
      </c>
      <c r="D2" s="42"/>
      <c r="E2" s="42"/>
      <c r="F2" s="42"/>
      <c r="G2" s="42"/>
      <c r="H2" s="42"/>
      <c r="I2" s="42"/>
    </row>
    <row r="3" spans="1:9" s="48" customFormat="1" ht="27" customHeight="1">
      <c r="A3" s="43" t="s">
        <v>11</v>
      </c>
      <c r="B3" s="44" t="s">
        <v>10</v>
      </c>
      <c r="C3" s="44" t="s">
        <v>9</v>
      </c>
      <c r="D3" s="45" t="s">
        <v>8</v>
      </c>
      <c r="E3" s="45" t="s">
        <v>7</v>
      </c>
      <c r="F3" s="46" t="s">
        <v>6</v>
      </c>
      <c r="G3" s="45" t="s">
        <v>5</v>
      </c>
      <c r="H3" s="46" t="s">
        <v>4</v>
      </c>
      <c r="I3" s="47" t="s">
        <v>3</v>
      </c>
    </row>
    <row r="4" spans="1:9">
      <c r="A4" s="4" t="s">
        <v>64</v>
      </c>
      <c r="B4" s="61">
        <v>40276</v>
      </c>
      <c r="C4" s="3" t="s">
        <v>52</v>
      </c>
      <c r="D4" s="3">
        <v>6</v>
      </c>
      <c r="E4" s="3">
        <v>6</v>
      </c>
      <c r="F4" s="3">
        <f>SUM(D4-E4)</f>
        <v>0</v>
      </c>
      <c r="G4" s="3"/>
      <c r="H4" s="3">
        <f>IF((SUM($E4-$G4))&lt;0,0,(SUM($E4-$G4)))</f>
        <v>6</v>
      </c>
      <c r="I4" s="70" t="s">
        <v>74</v>
      </c>
    </row>
    <row r="5" spans="1:9">
      <c r="A5" s="72" t="s">
        <v>73</v>
      </c>
      <c r="B5" s="73">
        <v>40287</v>
      </c>
      <c r="C5" s="74" t="s">
        <v>52</v>
      </c>
      <c r="D5" s="3">
        <v>6</v>
      </c>
      <c r="E5" s="3">
        <v>6</v>
      </c>
      <c r="F5" s="3">
        <f>SUM(D5-E5)</f>
        <v>0</v>
      </c>
      <c r="G5" s="3"/>
      <c r="H5" s="3">
        <f>IF((SUM($E5-$G5))&lt;0,0,(SUM($E5-$G5)))</f>
        <v>6</v>
      </c>
      <c r="I5" s="75" t="s">
        <v>75</v>
      </c>
    </row>
    <row r="6" spans="1:9">
      <c r="A6" s="4" t="s">
        <v>65</v>
      </c>
      <c r="B6" s="61">
        <v>40276</v>
      </c>
      <c r="C6" s="3" t="s">
        <v>51</v>
      </c>
      <c r="D6" s="3">
        <v>12</v>
      </c>
      <c r="E6" s="3">
        <v>12</v>
      </c>
      <c r="F6" s="3">
        <f t="shared" ref="F6:F7" si="0">SUM(D6-E6)</f>
        <v>0</v>
      </c>
      <c r="G6" s="3"/>
      <c r="H6" s="3">
        <f t="shared" ref="H6:H7" si="1">IF((SUM($E6-$G6))&lt;0,0,(SUM($E6-$G6)))</f>
        <v>12</v>
      </c>
      <c r="I6" s="70" t="s">
        <v>70</v>
      </c>
    </row>
    <row r="7" spans="1:9">
      <c r="A7" s="71" t="s">
        <v>69</v>
      </c>
      <c r="B7" s="68">
        <v>40289</v>
      </c>
      <c r="C7" s="3" t="s">
        <v>51</v>
      </c>
      <c r="D7" s="3">
        <v>12</v>
      </c>
      <c r="E7" s="3">
        <v>12</v>
      </c>
      <c r="F7" s="3">
        <f t="shared" si="0"/>
        <v>0</v>
      </c>
      <c r="G7" s="69"/>
      <c r="H7" s="3">
        <f t="shared" si="1"/>
        <v>12</v>
      </c>
      <c r="I7" s="70" t="s">
        <v>75</v>
      </c>
    </row>
    <row r="8" spans="1:9">
      <c r="A8" s="53"/>
      <c r="B8" s="54" t="s">
        <v>2</v>
      </c>
      <c r="C8" s="55" t="s">
        <v>1</v>
      </c>
      <c r="D8" s="56">
        <f>SUM(D4:D7)</f>
        <v>36</v>
      </c>
      <c r="E8" s="56">
        <f>SUM(E4:E7)</f>
        <v>36</v>
      </c>
      <c r="F8" s="56">
        <f>SUM(F4:F7)</f>
        <v>0</v>
      </c>
      <c r="G8" s="56">
        <f>SUM(G4:G7)</f>
        <v>0</v>
      </c>
      <c r="H8" s="56">
        <f>SUM(H4:H7)</f>
        <v>36</v>
      </c>
      <c r="I8" s="62"/>
    </row>
    <row r="10" spans="1:9">
      <c r="A10" s="49" t="s">
        <v>0</v>
      </c>
      <c r="B10" s="49"/>
    </row>
    <row r="11" spans="1:9">
      <c r="H11" s="2"/>
    </row>
  </sheetData>
  <mergeCells count="1">
    <mergeCell ref="A1:C1"/>
  </mergeCells>
  <printOptions horizontalCentered="1" gridLines="1"/>
  <pageMargins left="0.75" right="0.75" top="1" bottom="1" header="0.5" footer="0.5"/>
  <pageSetup scale="70" fitToHeight="0" orientation="landscape" r:id="rId1"/>
  <headerFooter alignWithMargins="0">
    <oddHeader>&amp;C&amp;"-,Bold"&amp;10Group Three
XBRL Project Database User Interface</oddHeader>
    <oddFooter>&amp;L&amp;"-,Bold"&amp;8Group Three | Testing Results&amp;R&amp;"-,Bold"&amp;8Page &amp;P of &amp;N
&amp;D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theme="5" tint="-0.249977111117893"/>
    <pageSetUpPr fitToPage="1"/>
  </sheetPr>
  <dimension ref="A1:G6"/>
  <sheetViews>
    <sheetView zoomScaleNormal="100" workbookViewId="0">
      <pane ySplit="3" topLeftCell="A4" activePane="bottomLeft" state="frozen"/>
      <selection pane="bottomLeft" activeCell="G9" sqref="G9"/>
    </sheetView>
  </sheetViews>
  <sheetFormatPr defaultRowHeight="12.75"/>
  <cols>
    <col min="1" max="1" width="14.85546875" style="1" bestFit="1" customWidth="1"/>
    <col min="2" max="2" width="13.85546875" style="1" bestFit="1" customWidth="1"/>
    <col min="3" max="3" width="50.7109375" style="1" customWidth="1"/>
    <col min="4" max="4" width="11.140625" style="1" bestFit="1" customWidth="1"/>
    <col min="5" max="5" width="50.7109375" style="1" customWidth="1"/>
    <col min="6" max="7" width="16.85546875" style="1" customWidth="1"/>
    <col min="8" max="16384" width="9.140625" style="1"/>
  </cols>
  <sheetData>
    <row r="1" spans="1:7" ht="12.75" customHeight="1">
      <c r="A1" s="90" t="s">
        <v>37</v>
      </c>
      <c r="B1" s="90"/>
      <c r="C1" s="91"/>
      <c r="D1" s="58"/>
      <c r="E1" s="42"/>
      <c r="F1" s="42"/>
      <c r="G1" s="42"/>
    </row>
    <row r="2" spans="1:7">
      <c r="A2" s="50"/>
      <c r="B2" s="51"/>
      <c r="C2" s="52"/>
      <c r="D2" s="59"/>
      <c r="E2" s="42"/>
      <c r="F2" s="42"/>
      <c r="G2" s="42"/>
    </row>
    <row r="3" spans="1:7" s="48" customFormat="1" ht="27" customHeight="1">
      <c r="A3" s="43" t="s">
        <v>33</v>
      </c>
      <c r="B3" s="44" t="s">
        <v>34</v>
      </c>
      <c r="C3" s="44" t="s">
        <v>35</v>
      </c>
      <c r="D3" s="44" t="s">
        <v>41</v>
      </c>
      <c r="E3" s="45" t="s">
        <v>36</v>
      </c>
      <c r="F3" s="45" t="s">
        <v>39</v>
      </c>
      <c r="G3" s="45" t="s">
        <v>40</v>
      </c>
    </row>
    <row r="4" spans="1:7">
      <c r="A4" s="4" t="s">
        <v>38</v>
      </c>
      <c r="B4" s="61">
        <v>40276</v>
      </c>
      <c r="C4" s="76" t="s">
        <v>77</v>
      </c>
      <c r="D4" s="3" t="s">
        <v>44</v>
      </c>
      <c r="E4" s="3" t="s">
        <v>78</v>
      </c>
      <c r="F4" s="61">
        <v>40287</v>
      </c>
      <c r="G4" s="61">
        <v>40287</v>
      </c>
    </row>
    <row r="5" spans="1:7">
      <c r="A5" s="4" t="s">
        <v>76</v>
      </c>
      <c r="B5" s="61">
        <v>40277</v>
      </c>
      <c r="C5" s="3" t="s">
        <v>71</v>
      </c>
      <c r="D5" s="3" t="s">
        <v>44</v>
      </c>
      <c r="E5" s="3" t="s">
        <v>72</v>
      </c>
      <c r="F5" s="61">
        <v>40291</v>
      </c>
      <c r="G5" s="61">
        <v>40291</v>
      </c>
    </row>
    <row r="6" spans="1:7">
      <c r="A6" s="49"/>
      <c r="B6" s="49"/>
    </row>
  </sheetData>
  <mergeCells count="1">
    <mergeCell ref="A1:C1"/>
  </mergeCells>
  <dataValidations count="1">
    <dataValidation type="list" allowBlank="1" showInputMessage="1" showErrorMessage="1" sqref="D4:D5">
      <formula1>ListSeverity</formula1>
    </dataValidation>
  </dataValidations>
  <printOptions horizontalCentered="1" gridLines="1"/>
  <pageMargins left="0.75" right="0.75" top="1" bottom="1" header="0.5" footer="0.5"/>
  <pageSetup scale="69" fitToHeight="0" orientation="landscape" r:id="rId1"/>
  <headerFooter alignWithMargins="0">
    <oddHeader>&amp;C&amp;"-,Bold"&amp;10Group Three
XBRL Project Database User Interface</oddHeader>
    <oddFooter>&amp;L&amp;"-,Bold"&amp;8Group Three | Testing Results&amp;R&amp;"-,Bold"&amp;8Page &amp;P of &amp;N
&amp;D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>
    <tabColor theme="7" tint="-0.249977111117893"/>
    <pageSetUpPr fitToPage="1"/>
  </sheetPr>
  <dimension ref="A1:W32"/>
  <sheetViews>
    <sheetView tabSelected="1" showWhiteSpace="0" zoomScaleNormal="100" workbookViewId="0">
      <selection activeCell="R18" sqref="R18"/>
    </sheetView>
  </sheetViews>
  <sheetFormatPr defaultRowHeight="12.75"/>
  <cols>
    <col min="1" max="1" width="4.140625" style="1" customWidth="1"/>
    <col min="2" max="2" width="15.85546875" style="1" bestFit="1" customWidth="1"/>
    <col min="3" max="23" width="5.7109375" style="1" customWidth="1"/>
    <col min="24" max="16384" width="9.140625" style="1"/>
  </cols>
  <sheetData>
    <row r="1" spans="1:23">
      <c r="A1" s="94"/>
      <c r="B1" s="92"/>
      <c r="C1" s="94" t="s">
        <v>31</v>
      </c>
      <c r="D1" s="92"/>
      <c r="E1" s="92"/>
      <c r="F1" s="92"/>
      <c r="G1" s="92"/>
      <c r="H1" s="93"/>
      <c r="I1" s="92" t="s">
        <v>30</v>
      </c>
      <c r="J1" s="92"/>
      <c r="K1" s="92"/>
      <c r="L1" s="92"/>
      <c r="M1" s="93"/>
      <c r="N1" s="94" t="s">
        <v>29</v>
      </c>
      <c r="O1" s="92"/>
      <c r="P1" s="92"/>
      <c r="Q1" s="92"/>
      <c r="R1" s="93"/>
      <c r="S1" s="92" t="s">
        <v>28</v>
      </c>
      <c r="T1" s="92"/>
      <c r="U1" s="92"/>
      <c r="V1" s="92"/>
      <c r="W1" s="93"/>
    </row>
    <row r="2" spans="1:23" ht="13.5" thickBot="1">
      <c r="A2" s="95" t="s">
        <v>27</v>
      </c>
      <c r="B2" s="96"/>
      <c r="C2" s="13" t="s">
        <v>18</v>
      </c>
      <c r="D2" s="96" t="s">
        <v>26</v>
      </c>
      <c r="E2" s="96"/>
      <c r="F2" s="14" t="s">
        <v>25</v>
      </c>
      <c r="G2" s="14" t="s">
        <v>24</v>
      </c>
      <c r="H2" s="15" t="s">
        <v>23</v>
      </c>
      <c r="I2" s="16" t="s">
        <v>22</v>
      </c>
      <c r="J2" s="16" t="s">
        <v>21</v>
      </c>
      <c r="K2" s="16" t="s">
        <v>20</v>
      </c>
      <c r="L2" s="16" t="s">
        <v>19</v>
      </c>
      <c r="M2" s="17" t="s">
        <v>18</v>
      </c>
      <c r="N2" s="18" t="s">
        <v>22</v>
      </c>
      <c r="O2" s="16" t="s">
        <v>21</v>
      </c>
      <c r="P2" s="16" t="s">
        <v>20</v>
      </c>
      <c r="Q2" s="16" t="s">
        <v>19</v>
      </c>
      <c r="R2" s="17" t="s">
        <v>18</v>
      </c>
      <c r="S2" s="16" t="s">
        <v>22</v>
      </c>
      <c r="T2" s="16" t="s">
        <v>21</v>
      </c>
      <c r="U2" s="16" t="s">
        <v>20</v>
      </c>
      <c r="V2" s="16" t="s">
        <v>19</v>
      </c>
      <c r="W2" s="17" t="s">
        <v>18</v>
      </c>
    </row>
    <row r="3" spans="1:23" ht="13.5" thickBot="1">
      <c r="A3" s="40">
        <v>1</v>
      </c>
      <c r="B3" s="38" t="s">
        <v>17</v>
      </c>
      <c r="C3" s="19">
        <f>'Unit Test Results'!$D$14</f>
        <v>22</v>
      </c>
      <c r="D3" s="20">
        <f>'Unit Test Results'!$E$14</f>
        <v>22</v>
      </c>
      <c r="E3" s="21">
        <f>IF(C3=0,0,$D3/$C3)</f>
        <v>1</v>
      </c>
      <c r="F3" s="20">
        <f>$C3-$D3</f>
        <v>0</v>
      </c>
      <c r="G3" s="20">
        <f>('Unit Test Results'!$G$14)</f>
        <v>0</v>
      </c>
      <c r="H3" s="22">
        <f>D3-G3</f>
        <v>22</v>
      </c>
      <c r="I3" s="23">
        <v>0</v>
      </c>
      <c r="J3" s="24">
        <v>0</v>
      </c>
      <c r="K3" s="24">
        <v>0</v>
      </c>
      <c r="L3" s="24"/>
      <c r="M3" s="22">
        <f>SUM($I3:$L3)</f>
        <v>0</v>
      </c>
      <c r="N3" s="23">
        <v>0</v>
      </c>
      <c r="O3" s="25">
        <v>0</v>
      </c>
      <c r="P3" s="24">
        <v>0</v>
      </c>
      <c r="Q3" s="25"/>
      <c r="R3" s="28">
        <f>SUM($N3:$Q3)</f>
        <v>0</v>
      </c>
      <c r="S3" s="26">
        <f t="shared" ref="S3:V4" si="0">IF(I3="","",I3-N3)</f>
        <v>0</v>
      </c>
      <c r="T3" s="26">
        <f t="shared" si="0"/>
        <v>0</v>
      </c>
      <c r="U3" s="26">
        <f t="shared" si="0"/>
        <v>0</v>
      </c>
      <c r="V3" s="26" t="str">
        <f t="shared" si="0"/>
        <v/>
      </c>
      <c r="W3" s="27">
        <f>SUM($S3:$V3)</f>
        <v>0</v>
      </c>
    </row>
    <row r="4" spans="1:23" ht="13.5" thickBot="1">
      <c r="A4" s="41">
        <v>2</v>
      </c>
      <c r="B4" s="39" t="s">
        <v>16</v>
      </c>
      <c r="C4" s="5">
        <f>'Integration Testing Results'!$D$8</f>
        <v>36</v>
      </c>
      <c r="D4" s="6">
        <f>'Integration Testing Results'!$E$8</f>
        <v>36</v>
      </c>
      <c r="E4" s="7">
        <f>IF(C4=0,0,$D4/$C4)</f>
        <v>1</v>
      </c>
      <c r="F4" s="6">
        <f>$C4-$D4</f>
        <v>0</v>
      </c>
      <c r="G4" s="6">
        <f>('Integration Testing Results'!$G$8)</f>
        <v>0</v>
      </c>
      <c r="H4" s="8">
        <f>D4-G4</f>
        <v>36</v>
      </c>
      <c r="I4" s="9">
        <v>0</v>
      </c>
      <c r="J4" s="10">
        <v>0</v>
      </c>
      <c r="K4" s="10">
        <v>2</v>
      </c>
      <c r="L4" s="10"/>
      <c r="M4" s="8">
        <f>SUM($I4:$L4)</f>
        <v>2</v>
      </c>
      <c r="N4" s="9">
        <v>0</v>
      </c>
      <c r="O4" s="11">
        <v>0</v>
      </c>
      <c r="P4" s="10">
        <v>2</v>
      </c>
      <c r="Q4" s="11"/>
      <c r="R4" s="12">
        <f>SUM($N4:$Q4)</f>
        <v>2</v>
      </c>
      <c r="S4" s="60">
        <f t="shared" si="0"/>
        <v>0</v>
      </c>
      <c r="T4" s="60">
        <f t="shared" si="0"/>
        <v>0</v>
      </c>
      <c r="U4" s="60">
        <f t="shared" si="0"/>
        <v>0</v>
      </c>
      <c r="V4" s="60" t="str">
        <f t="shared" si="0"/>
        <v/>
      </c>
      <c r="W4" s="12">
        <f>SUM($S4:$V4)</f>
        <v>0</v>
      </c>
    </row>
    <row r="5" spans="1:23" ht="13.5" thickBot="1">
      <c r="A5" s="87"/>
      <c r="B5" s="82"/>
      <c r="C5" s="33">
        <f>SUM(C$3:C$4)</f>
        <v>58</v>
      </c>
      <c r="D5" s="34">
        <f>SUM(D$3:D$4)</f>
        <v>58</v>
      </c>
      <c r="E5" s="80">
        <f>IF(C5=0,0,$D5/$C5)</f>
        <v>1</v>
      </c>
      <c r="F5" s="34">
        <f t="shared" ref="F5:W5" si="1">SUM(F$3:F$4)</f>
        <v>0</v>
      </c>
      <c r="G5" s="35">
        <f t="shared" si="1"/>
        <v>0</v>
      </c>
      <c r="H5" s="36">
        <f t="shared" si="1"/>
        <v>58</v>
      </c>
      <c r="I5" s="33">
        <f t="shared" si="1"/>
        <v>0</v>
      </c>
      <c r="J5" s="34">
        <f t="shared" si="1"/>
        <v>0</v>
      </c>
      <c r="K5" s="34">
        <f t="shared" si="1"/>
        <v>2</v>
      </c>
      <c r="L5" s="34">
        <f t="shared" si="1"/>
        <v>0</v>
      </c>
      <c r="M5" s="37">
        <f t="shared" si="1"/>
        <v>2</v>
      </c>
      <c r="N5" s="33">
        <f t="shared" si="1"/>
        <v>0</v>
      </c>
      <c r="O5" s="35">
        <f t="shared" si="1"/>
        <v>0</v>
      </c>
      <c r="P5" s="35">
        <f t="shared" si="1"/>
        <v>2</v>
      </c>
      <c r="Q5" s="35">
        <f t="shared" si="1"/>
        <v>0</v>
      </c>
      <c r="R5" s="37">
        <f t="shared" si="1"/>
        <v>2</v>
      </c>
      <c r="S5" s="34">
        <f t="shared" si="1"/>
        <v>0</v>
      </c>
      <c r="T5" s="35">
        <f t="shared" si="1"/>
        <v>0</v>
      </c>
      <c r="U5" s="35">
        <f t="shared" si="1"/>
        <v>0</v>
      </c>
      <c r="V5" s="35">
        <f t="shared" si="1"/>
        <v>0</v>
      </c>
      <c r="W5" s="37">
        <f t="shared" si="1"/>
        <v>0</v>
      </c>
    </row>
    <row r="6" spans="1:23" ht="13.5" thickBot="1">
      <c r="A6" s="88"/>
      <c r="B6" s="77"/>
      <c r="C6" s="78"/>
      <c r="D6" s="85"/>
      <c r="E6" s="86"/>
      <c r="F6" s="83">
        <f>IF(C5=0,0,F5/$C5)</f>
        <v>0</v>
      </c>
      <c r="G6" s="29">
        <f>IF(D5=0,0,G5/$D5)</f>
        <v>0</v>
      </c>
      <c r="H6" s="30">
        <f>IF(E5=0,0,H5/$D5)</f>
        <v>1</v>
      </c>
      <c r="I6" s="31">
        <f>IF($M$5=0,0,$I$5/M5)</f>
        <v>0</v>
      </c>
      <c r="J6" s="29">
        <f>IF($M$5=0,0,$J$5/$M$5)</f>
        <v>0</v>
      </c>
      <c r="K6" s="29">
        <f>IF($M$5=0,0,$K$5/$M$5)</f>
        <v>1</v>
      </c>
      <c r="L6" s="30">
        <f>IF($M$5=0,0,$L$5/$M$5)</f>
        <v>0</v>
      </c>
      <c r="M6" s="79"/>
      <c r="N6" s="32">
        <f>IF($R$5=0,0,$N$5/$R$5)</f>
        <v>0</v>
      </c>
      <c r="O6" s="29">
        <f>IF($R$5=0,0,$O$5/$R$5)</f>
        <v>0</v>
      </c>
      <c r="P6" s="29">
        <f>IF($R$5=0,0,$P$5/$R$5)</f>
        <v>1</v>
      </c>
      <c r="Q6" s="30">
        <f>IF($R$5=0,0,$Q$5/$R$5)</f>
        <v>0</v>
      </c>
      <c r="R6" s="81"/>
      <c r="S6" s="32">
        <f>IF($S$5=0,0,$S$5/$W$5)</f>
        <v>0</v>
      </c>
      <c r="T6" s="29">
        <f>IF($T$5=0,0,$T$5/$W$5)</f>
        <v>0</v>
      </c>
      <c r="U6" s="29">
        <f>IF($U$5=0,0,$U$5/$W$5)</f>
        <v>0</v>
      </c>
      <c r="V6" s="30">
        <f>IF($V$5=0,0,$V$5/$W$5)</f>
        <v>0</v>
      </c>
      <c r="W6" s="81"/>
    </row>
    <row r="7" spans="1:23" ht="13.5" thickBot="1">
      <c r="A7" s="89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</row>
    <row r="8" spans="1:23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48"/>
      <c r="O8" s="48"/>
      <c r="P8" s="48"/>
      <c r="Q8" s="48"/>
      <c r="R8" s="48"/>
      <c r="S8" s="48"/>
      <c r="T8" s="48"/>
      <c r="U8" s="48"/>
      <c r="V8" s="48"/>
      <c r="W8" s="48"/>
    </row>
    <row r="9" spans="1:23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 spans="1:23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48"/>
      <c r="O10" s="48"/>
      <c r="P10" s="48"/>
      <c r="Q10" s="48"/>
      <c r="R10" s="48"/>
      <c r="S10" s="48"/>
      <c r="T10" s="48"/>
      <c r="U10" s="48"/>
      <c r="V10" s="48"/>
      <c r="W10" s="48"/>
    </row>
    <row r="11" spans="1:23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48"/>
      <c r="O11" s="48"/>
      <c r="P11" s="48"/>
      <c r="Q11" s="48"/>
      <c r="R11" s="48"/>
      <c r="S11" s="48"/>
      <c r="T11" s="48"/>
      <c r="U11" s="48"/>
      <c r="V11" s="48"/>
      <c r="W11" s="48"/>
    </row>
    <row r="12" spans="1:23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48"/>
      <c r="O12" s="48"/>
      <c r="P12" s="48"/>
      <c r="Q12" s="48"/>
      <c r="R12" s="48"/>
      <c r="S12" s="48"/>
      <c r="T12" s="48"/>
      <c r="U12" s="48"/>
      <c r="V12" s="48"/>
      <c r="W12" s="48"/>
    </row>
    <row r="13" spans="1:2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48"/>
      <c r="O13" s="48"/>
      <c r="P13" s="48"/>
      <c r="Q13" s="48"/>
      <c r="R13" s="48"/>
      <c r="S13" s="48"/>
      <c r="T13" s="48"/>
      <c r="U13" s="48"/>
      <c r="V13" s="48"/>
      <c r="W13" s="48"/>
    </row>
    <row r="14" spans="1:23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48"/>
      <c r="O14" s="48"/>
      <c r="P14" s="48"/>
      <c r="Q14" s="48"/>
      <c r="R14" s="48"/>
      <c r="S14" s="48"/>
      <c r="T14" s="48"/>
      <c r="U14" s="48"/>
      <c r="V14" s="48"/>
      <c r="W14" s="48"/>
    </row>
    <row r="15" spans="1:23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23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 spans="1:13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1:13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</row>
    <row r="19" spans="1:13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</row>
    <row r="20" spans="1:13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</row>
    <row r="21" spans="1:13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1:13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</row>
    <row r="23" spans="1:1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1:13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</row>
    <row r="25" spans="1:13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</row>
    <row r="26" spans="1:13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</row>
    <row r="27" spans="1:13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</row>
    <row r="28" spans="1:13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</row>
    <row r="29" spans="1:13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</row>
    <row r="30" spans="1:13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</row>
    <row r="31" spans="1:13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</row>
    <row r="32" spans="1:13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</sheetData>
  <mergeCells count="7">
    <mergeCell ref="S1:W1"/>
    <mergeCell ref="I1:M1"/>
    <mergeCell ref="N1:R1"/>
    <mergeCell ref="A2:B2"/>
    <mergeCell ref="D2:E2"/>
    <mergeCell ref="A1:B1"/>
    <mergeCell ref="C1:H1"/>
  </mergeCells>
  <pageMargins left="0.75" right="0.75" top="1" bottom="1" header="0.5" footer="0.5"/>
  <pageSetup scale="86" fitToHeight="0" orientation="landscape" r:id="rId1"/>
  <headerFooter alignWithMargins="0">
    <oddHeader>&amp;C&amp;"-,Bold"&amp;10Group Three&amp;"-,Regular"&amp;11
&amp;"-,Bold"&amp;10XBRL Project Database User Interface</oddHeader>
    <oddFooter>&amp;L&amp;"-,Bold"&amp;8Group Three | Testing Results&amp;C &amp;R&amp;"-,Bold"&amp;8Page &amp;P of &amp;N
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2:B5"/>
  <sheetViews>
    <sheetView workbookViewId="0">
      <selection activeCell="B6" sqref="B6"/>
    </sheetView>
  </sheetViews>
  <sheetFormatPr defaultRowHeight="15"/>
  <sheetData>
    <row r="2" spans="2:2">
      <c r="B2" t="s">
        <v>42</v>
      </c>
    </row>
    <row r="3" spans="2:2">
      <c r="B3" t="s">
        <v>43</v>
      </c>
    </row>
    <row r="4" spans="2:2">
      <c r="B4" t="s">
        <v>44</v>
      </c>
    </row>
    <row r="5" spans="2:2">
      <c r="B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Unit Test Results</vt:lpstr>
      <vt:lpstr>Integration Testing Results</vt:lpstr>
      <vt:lpstr>IncidentLog</vt:lpstr>
      <vt:lpstr>Percentages</vt:lpstr>
      <vt:lpstr>Data</vt:lpstr>
      <vt:lpstr>ListSeverity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Anand</cp:lastModifiedBy>
  <cp:lastPrinted>2010-03-28T03:56:19Z</cp:lastPrinted>
  <dcterms:created xsi:type="dcterms:W3CDTF">2010-03-28T02:48:15Z</dcterms:created>
  <dcterms:modified xsi:type="dcterms:W3CDTF">2010-04-30T04:33:01Z</dcterms:modified>
</cp:coreProperties>
</file>